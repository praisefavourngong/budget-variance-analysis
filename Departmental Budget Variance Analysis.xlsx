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A9D96DC-7C14-4BCE-8DC8-210127AC0873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Budget Tracker" sheetId="1" r:id="rId1"/>
    <sheet name="Department Summary" sheetId="2" r:id="rId2"/>
    <sheet name="Variance Analysis" sheetId="3" r:id="rId3"/>
  </sheets>
  <calcPr calcId="18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" i="1" l="1"/>
  <c r="F6" i="1"/>
  <c r="F12" i="1"/>
  <c r="B4" i="2"/>
  <c r="H11" i="1"/>
  <c r="F22" i="1"/>
  <c r="F10" i="1"/>
  <c r="B5" i="2"/>
  <c r="B4" i="3" s="1"/>
  <c r="F4" i="1"/>
  <c r="B8" i="2"/>
  <c r="B7" i="3" s="1"/>
  <c r="B7" i="2"/>
  <c r="B6" i="3" s="1"/>
  <c r="B6" i="2"/>
  <c r="B5" i="3" s="1"/>
  <c r="E22" i="1"/>
  <c r="D22" i="1"/>
  <c r="C22" i="1"/>
  <c r="F21" i="1"/>
  <c r="G21" i="1" s="1"/>
  <c r="F20" i="1"/>
  <c r="H20" i="1" s="1"/>
  <c r="F19" i="1"/>
  <c r="G19" i="1" s="1"/>
  <c r="F18" i="1"/>
  <c r="H18" i="1" s="1"/>
  <c r="F17" i="1"/>
  <c r="H17" i="1" s="1"/>
  <c r="F16" i="1"/>
  <c r="F15" i="1"/>
  <c r="G15" i="1" s="1"/>
  <c r="F14" i="1"/>
  <c r="G14" i="1" s="1"/>
  <c r="F13" i="1"/>
  <c r="H12" i="1"/>
  <c r="F11" i="1"/>
  <c r="G11" i="1" s="1"/>
  <c r="H10" i="1"/>
  <c r="G10" i="1"/>
  <c r="F9" i="1"/>
  <c r="G9" i="1" s="1"/>
  <c r="F8" i="1"/>
  <c r="C5" i="2" s="1"/>
  <c r="H7" i="1"/>
  <c r="F7" i="1"/>
  <c r="G7" i="1" s="1"/>
  <c r="H6" i="1"/>
  <c r="F5" i="1"/>
  <c r="G5" i="1" s="1"/>
  <c r="F5" i="2" l="1"/>
  <c r="B3" i="3"/>
  <c r="H14" i="1"/>
  <c r="C6" i="2"/>
  <c r="H19" i="1"/>
  <c r="H15" i="1"/>
  <c r="G18" i="1"/>
  <c r="C4" i="2"/>
  <c r="F4" i="2" s="1"/>
  <c r="G6" i="1"/>
  <c r="C7" i="2"/>
  <c r="H4" i="1"/>
  <c r="E5" i="2"/>
  <c r="D5" i="2"/>
  <c r="D4" i="3" s="1"/>
  <c r="C4" i="3"/>
  <c r="G17" i="1"/>
  <c r="H5" i="1"/>
  <c r="G8" i="1"/>
  <c r="H9" i="1"/>
  <c r="G12" i="1"/>
  <c r="H13" i="1"/>
  <c r="G16" i="1"/>
  <c r="G20" i="1"/>
  <c r="H21" i="1"/>
  <c r="H22" i="1"/>
  <c r="C8" i="2"/>
  <c r="B9" i="2"/>
  <c r="G13" i="1"/>
  <c r="H8" i="1"/>
  <c r="H16" i="1"/>
  <c r="D6" i="2" l="1"/>
  <c r="D5" i="3" s="1"/>
  <c r="F6" i="2"/>
  <c r="E6" i="2"/>
  <c r="F7" i="2"/>
  <c r="E7" i="2"/>
  <c r="D8" i="2"/>
  <c r="D7" i="3" s="1"/>
  <c r="F8" i="2"/>
  <c r="C5" i="3"/>
  <c r="D7" i="2"/>
  <c r="D6" i="3" s="1"/>
  <c r="C6" i="3"/>
  <c r="D4" i="2"/>
  <c r="D3" i="3" s="1"/>
  <c r="C3" i="3"/>
  <c r="E4" i="2"/>
  <c r="C9" i="2"/>
  <c r="F9" i="2" s="1"/>
  <c r="C7" i="3"/>
  <c r="E8" i="2"/>
  <c r="G22" i="1"/>
  <c r="E9" i="2" l="1"/>
  <c r="D9" i="2"/>
</calcChain>
</file>

<file path=xl/sharedStrings.xml><?xml version="1.0" encoding="utf-8"?>
<sst xmlns="http://schemas.openxmlformats.org/spreadsheetml/2006/main" count="77" uniqueCount="47">
  <si>
    <t>Department</t>
  </si>
  <si>
    <t>Category</t>
  </si>
  <si>
    <t>Annual Budget (FCFA)</t>
  </si>
  <si>
    <t>Q1 Actual (FCFA)</t>
  </si>
  <si>
    <t>Q2 Actual (FCFA)</t>
  </si>
  <si>
    <t>Total Actual (FCFA)</t>
  </si>
  <si>
    <t>Variance (FCFA)</t>
  </si>
  <si>
    <t>Status</t>
  </si>
  <si>
    <t>Finance</t>
  </si>
  <si>
    <t>Salaries &amp; Benefits</t>
  </si>
  <si>
    <t>Audit &amp; Compliance</t>
  </si>
  <si>
    <t>Software &amp; Subscriptions</t>
  </si>
  <si>
    <t>Office Supplies</t>
  </si>
  <si>
    <t>HR</t>
  </si>
  <si>
    <t>Recruitment</t>
  </si>
  <si>
    <t>Training &amp; Development</t>
  </si>
  <si>
    <t>Staff Welfare</t>
  </si>
  <si>
    <t>Operations</t>
  </si>
  <si>
    <t>Rent &amp; Utilities</t>
  </si>
  <si>
    <t>Equipment Maintenance</t>
  </si>
  <si>
    <t>Transportation</t>
  </si>
  <si>
    <t>Security</t>
  </si>
  <si>
    <t>Marketing</t>
  </si>
  <si>
    <t>Advertising</t>
  </si>
  <si>
    <t>Client Events</t>
  </si>
  <si>
    <t>Digital Marketing</t>
  </si>
  <si>
    <t>IT</t>
  </si>
  <si>
    <t>Hardware</t>
  </si>
  <si>
    <t>Software Licenses</t>
  </si>
  <si>
    <t>IT Support</t>
  </si>
  <si>
    <t>GRAND TOTAL</t>
  </si>
  <si>
    <t>Total Budget (FCFA)</t>
  </si>
  <si>
    <t>Budget Used (%)</t>
  </si>
  <si>
    <t>TOTAL</t>
  </si>
  <si>
    <t>Budget (FCFA)</t>
  </si>
  <si>
    <t>Actual (FCFA)</t>
  </si>
  <si>
    <t>Analysis Note</t>
  </si>
  <si>
    <t>Audit costs slightly higher due to additional compliance review requested by management.</t>
  </si>
  <si>
    <t>Recruitment underspent as two planned hires were postponed to H2.</t>
  </si>
  <si>
    <t>Rent and utilities on track. Transportation underspent due to remote work policy.</t>
  </si>
  <si>
    <t>Client events underspent. Advertising slightly over due to new campaign launch.</t>
  </si>
  <si>
    <t>Hardware underspent as server upgrade was delayed to Q3.</t>
  </si>
  <si>
    <t xml:space="preserve">This summary is automatically pulled from the Budget Tracker sheet </t>
  </si>
  <si>
    <t>VARIANCE ANALYSIS REPORT  H1 2025</t>
  </si>
  <si>
    <t xml:space="preserve">Prepared by: Praise Favour Ngong  |  Period: January – June 2025 </t>
  </si>
  <si>
    <t>BUDGET SUMMARY BY DEPARTMENT  H1 2025</t>
  </si>
  <si>
    <t xml:space="preserve"> DEPARTMENTAL BUDGET VARIANCE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</si>
</sst>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9"/>
      <color rgb="FF444444"/>
      <name val="Arial"/>
      <family val="2"/>
    </font>
    <font>
      <b/>
      <sz val="11"/>
      <color theme="1"/>
      <name val="Calibri"/>
      <family val="2"/>
      <charset val="1"/>
    </font>
    <font>
      <b/>
      <sz val="10"/>
      <color rgb="FF444444"/>
      <name val="Arial"/>
      <family val="2"/>
    </font>
    <font>
      <sz val="10"/>
      <color theme="1"/>
      <name val="Arial"/>
      <family val="2"/>
    </font>
    <font>
      <b/>
      <i/>
      <sz val="9"/>
      <color theme="0"/>
      <name val="Arial"/>
      <family val="2"/>
    </font>
    <font>
      <b/>
      <sz val="13"/>
      <color rgb="FFFFFFFF"/>
      <name val="Arial"/>
      <family val="2"/>
    </font>
    <font>
      <b/>
      <sz val="10"/>
      <color theme="1"/>
      <name val="Arial"/>
      <family val="2"/>
    </font>
    <font>
      <b/>
      <sz val="9"/>
      <color theme="0"/>
      <name val="Arial"/>
      <family val="2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rgb="FF003366"/>
      </patternFill>
    </fill>
    <fill>
      <patternFill patternType="solid">
        <fgColor theme="1" tint="0.249977111117893"/>
        <bgColor rgb="FFF2F7FF"/>
      </patternFill>
    </fill>
    <fill>
      <patternFill patternType="solid">
        <fgColor theme="1"/>
        <bgColor rgb="FF0066CC"/>
      </patternFill>
    </fill>
    <fill>
      <patternFill patternType="solid">
        <fgColor theme="0"/>
        <bgColor rgb="FFF2F7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3366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43">
    <xf numFmtId="0" fontId="0" fillId="0" borderId="0" xfId="0"/>
    <xf numFmtId="0" fontId="6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3" fontId="8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3" fontId="8" fillId="6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center" vertical="center"/>
    </xf>
    <xf numFmtId="0" fontId="0" fillId="0" borderId="4" xfId="0" applyBorder="1"/>
    <xf numFmtId="0" fontId="4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164" fontId="8" fillId="6" borderId="2" xfId="0" applyNumberFormat="1" applyFont="1" applyFill="1" applyBorder="1" applyAlignment="1">
      <alignment horizontal="center" vertical="center"/>
    </xf>
    <xf numFmtId="164" fontId="11" fillId="7" borderId="4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43" fontId="8" fillId="6" borderId="1" xfId="0" applyNumberFormat="1" applyFont="1" applyFill="1" applyBorder="1" applyAlignment="1">
      <alignment horizontal="center" vertical="center"/>
    </xf>
    <xf numFmtId="43" fontId="8" fillId="5" borderId="1" xfId="0" applyNumberFormat="1" applyFont="1" applyFill="1" applyBorder="1" applyAlignment="1">
      <alignment horizontal="center" vertical="center"/>
    </xf>
    <xf numFmtId="43" fontId="8" fillId="6" borderId="2" xfId="0" applyNumberFormat="1" applyFont="1" applyFill="1" applyBorder="1" applyAlignment="1">
      <alignment horizontal="center" vertical="center"/>
    </xf>
    <xf numFmtId="43" fontId="11" fillId="7" borderId="4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43" fontId="8" fillId="6" borderId="1" xfId="1" applyFont="1" applyFill="1" applyBorder="1" applyAlignment="1">
      <alignment horizontal="center" vertical="center"/>
    </xf>
    <xf numFmtId="43" fontId="3" fillId="6" borderId="1" xfId="1" applyFont="1" applyFill="1" applyBorder="1" applyAlignment="1">
      <alignment horizontal="center" vertical="center"/>
    </xf>
    <xf numFmtId="43" fontId="8" fillId="5" borderId="1" xfId="1" applyFont="1" applyFill="1" applyBorder="1" applyAlignment="1">
      <alignment horizontal="center" vertical="center"/>
    </xf>
    <xf numFmtId="43" fontId="3" fillId="5" borderId="1" xfId="1" applyFont="1" applyFill="1" applyBorder="1" applyAlignment="1">
      <alignment horizontal="center" vertical="center"/>
    </xf>
    <xf numFmtId="43" fontId="8" fillId="5" borderId="2" xfId="1" applyFont="1" applyFill="1" applyBorder="1" applyAlignment="1">
      <alignment horizontal="center" vertical="center"/>
    </xf>
    <xf numFmtId="43" fontId="3" fillId="5" borderId="2" xfId="1" applyFont="1" applyFill="1" applyBorder="1" applyAlignment="1">
      <alignment horizontal="center" vertical="center"/>
    </xf>
    <xf numFmtId="43" fontId="11" fillId="7" borderId="4" xfId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F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="130" zoomScaleNormal="130" workbookViewId="0">
      <pane ySplit="3" topLeftCell="A4" activePane="bottomLeft" state="frozen"/>
      <selection pane="bottomLeft" sqref="A1:H1"/>
    </sheetView>
  </sheetViews>
  <sheetFormatPr defaultColWidth="8.7265625" defaultRowHeight="14.5" x14ac:dyDescent="0.35"/>
  <cols>
    <col min="1" max="1" width="17.6328125" customWidth="1"/>
    <col min="2" max="2" width="25" customWidth="1"/>
    <col min="3" max="3" width="20" customWidth="1"/>
    <col min="4" max="7" width="18" customWidth="1"/>
    <col min="8" max="8" width="15" customWidth="1"/>
  </cols>
  <sheetData>
    <row r="1" spans="1:8" ht="34.5" customHeight="1" x14ac:dyDescent="0.35">
      <c r="A1" s="37" t="s">
        <v>46</v>
      </c>
      <c r="B1" s="38"/>
      <c r="C1" s="38"/>
      <c r="D1" s="38"/>
      <c r="E1" s="38"/>
      <c r="F1" s="38"/>
      <c r="G1" s="38"/>
      <c r="H1" s="38"/>
    </row>
    <row r="2" spans="1:8" ht="18" customHeight="1" x14ac:dyDescent="0.35">
      <c r="A2" s="39" t="s">
        <v>44</v>
      </c>
      <c r="B2" s="39"/>
      <c r="C2" s="39"/>
      <c r="D2" s="39"/>
      <c r="E2" s="39"/>
      <c r="F2" s="39"/>
      <c r="G2" s="39"/>
      <c r="H2" s="39"/>
    </row>
    <row r="3" spans="1:8" ht="30" customHeigh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x14ac:dyDescent="0.35">
      <c r="A4" s="26" t="s">
        <v>8</v>
      </c>
      <c r="B4" s="5" t="s">
        <v>9</v>
      </c>
      <c r="C4" s="27">
        <v>48000000</v>
      </c>
      <c r="D4" s="27">
        <v>11500000</v>
      </c>
      <c r="E4" s="27">
        <v>12200000</v>
      </c>
      <c r="F4" s="28">
        <f>D4+E4</f>
        <v>23700000</v>
      </c>
      <c r="G4" s="28">
        <f>C4-F4</f>
        <v>24300000</v>
      </c>
      <c r="H4" s="35" t="str">
        <f>IF(F4&gt;C4,"Over Budget",IF(F4/C4&gt;0.8,"On Track","Under Utilized"))</f>
        <v>Under Utilized</v>
      </c>
    </row>
    <row r="5" spans="1:8" x14ac:dyDescent="0.35">
      <c r="A5" s="3" t="s">
        <v>8</v>
      </c>
      <c r="B5" s="3" t="s">
        <v>10</v>
      </c>
      <c r="C5" s="29">
        <v>12000000</v>
      </c>
      <c r="D5" s="29">
        <v>2800000</v>
      </c>
      <c r="E5" s="29">
        <v>3100000</v>
      </c>
      <c r="F5" s="30">
        <f t="shared" ref="F5:F21" si="0">D5+E5</f>
        <v>5900000</v>
      </c>
      <c r="G5" s="30">
        <f t="shared" ref="G5:G21" si="1">C5-F5</f>
        <v>6100000</v>
      </c>
      <c r="H5" s="34" t="str">
        <f t="shared" ref="H5:H21" si="2">IF(F5&gt;C5,"Over Budget",IF(F5/C5&gt;0.8,"On Track","Under Utilized"))</f>
        <v>Under Utilized</v>
      </c>
    </row>
    <row r="6" spans="1:8" x14ac:dyDescent="0.35">
      <c r="A6" s="5" t="s">
        <v>8</v>
      </c>
      <c r="B6" s="5" t="s">
        <v>11</v>
      </c>
      <c r="C6" s="27">
        <v>6000000</v>
      </c>
      <c r="D6" s="27">
        <v>1400000</v>
      </c>
      <c r="E6" s="27">
        <v>1600000</v>
      </c>
      <c r="F6" s="28">
        <f>D6+E6</f>
        <v>3000000</v>
      </c>
      <c r="G6" s="28">
        <f t="shared" si="1"/>
        <v>3000000</v>
      </c>
      <c r="H6" s="35" t="str">
        <f t="shared" si="2"/>
        <v>Under Utilized</v>
      </c>
    </row>
    <row r="7" spans="1:8" x14ac:dyDescent="0.35">
      <c r="A7" s="3" t="s">
        <v>8</v>
      </c>
      <c r="B7" s="3" t="s">
        <v>12</v>
      </c>
      <c r="C7" s="29">
        <v>2400000</v>
      </c>
      <c r="D7" s="29">
        <v>550000</v>
      </c>
      <c r="E7" s="29">
        <v>620000</v>
      </c>
      <c r="F7" s="30">
        <f t="shared" si="0"/>
        <v>1170000</v>
      </c>
      <c r="G7" s="30">
        <f t="shared" si="1"/>
        <v>1230000</v>
      </c>
      <c r="H7" s="34" t="str">
        <f t="shared" si="2"/>
        <v>Under Utilized</v>
      </c>
    </row>
    <row r="8" spans="1:8" x14ac:dyDescent="0.35">
      <c r="A8" s="5" t="s">
        <v>13</v>
      </c>
      <c r="B8" s="5" t="s">
        <v>9</v>
      </c>
      <c r="C8" s="27">
        <v>36000000</v>
      </c>
      <c r="D8" s="27">
        <v>8800000</v>
      </c>
      <c r="E8" s="27">
        <v>9200000</v>
      </c>
      <c r="F8" s="28">
        <f t="shared" si="0"/>
        <v>18000000</v>
      </c>
      <c r="G8" s="28">
        <f t="shared" si="1"/>
        <v>18000000</v>
      </c>
      <c r="H8" s="35" t="str">
        <f t="shared" si="2"/>
        <v>Under Utilized</v>
      </c>
    </row>
    <row r="9" spans="1:8" x14ac:dyDescent="0.35">
      <c r="A9" s="3" t="s">
        <v>13</v>
      </c>
      <c r="B9" s="3" t="s">
        <v>14</v>
      </c>
      <c r="C9" s="29">
        <v>4800000</v>
      </c>
      <c r="D9" s="29">
        <v>1500000</v>
      </c>
      <c r="E9" s="29">
        <v>800000</v>
      </c>
      <c r="F9" s="30">
        <f t="shared" si="0"/>
        <v>2300000</v>
      </c>
      <c r="G9" s="30">
        <f t="shared" si="1"/>
        <v>2500000</v>
      </c>
      <c r="H9" s="34" t="str">
        <f t="shared" si="2"/>
        <v>Under Utilized</v>
      </c>
    </row>
    <row r="10" spans="1:8" x14ac:dyDescent="0.35">
      <c r="A10" s="5" t="s">
        <v>13</v>
      </c>
      <c r="B10" s="5" t="s">
        <v>15</v>
      </c>
      <c r="C10" s="27">
        <v>6000000</v>
      </c>
      <c r="D10" s="27">
        <v>1200000</v>
      </c>
      <c r="E10" s="27">
        <v>1800000</v>
      </c>
      <c r="F10" s="28">
        <f>D10+E10</f>
        <v>3000000</v>
      </c>
      <c r="G10" s="28">
        <f t="shared" si="1"/>
        <v>3000000</v>
      </c>
      <c r="H10" s="35" t="str">
        <f t="shared" si="2"/>
        <v>Under Utilized</v>
      </c>
    </row>
    <row r="11" spans="1:8" x14ac:dyDescent="0.35">
      <c r="A11" s="3" t="s">
        <v>13</v>
      </c>
      <c r="B11" s="3" t="s">
        <v>16</v>
      </c>
      <c r="C11" s="29">
        <v>3600000</v>
      </c>
      <c r="D11" s="29">
        <v>750000</v>
      </c>
      <c r="E11" s="29">
        <v>900000</v>
      </c>
      <c r="F11" s="30">
        <f t="shared" si="0"/>
        <v>1650000</v>
      </c>
      <c r="G11" s="30">
        <f t="shared" si="1"/>
        <v>1950000</v>
      </c>
      <c r="H11" s="34" t="str">
        <f>IF(F11&gt;C11,"Over Budget",IF(F11/C11&gt;0.8,"On Track","Under Utilized"))</f>
        <v>Under Utilized</v>
      </c>
    </row>
    <row r="12" spans="1:8" x14ac:dyDescent="0.35">
      <c r="A12" s="5" t="s">
        <v>17</v>
      </c>
      <c r="B12" s="5" t="s">
        <v>18</v>
      </c>
      <c r="C12" s="27">
        <v>18000000</v>
      </c>
      <c r="D12" s="27">
        <v>4400000</v>
      </c>
      <c r="E12" s="27">
        <v>4600000</v>
      </c>
      <c r="F12" s="28">
        <f>D12+E12</f>
        <v>9000000</v>
      </c>
      <c r="G12" s="28">
        <f t="shared" si="1"/>
        <v>9000000</v>
      </c>
      <c r="H12" s="35" t="str">
        <f t="shared" si="2"/>
        <v>Under Utilized</v>
      </c>
    </row>
    <row r="13" spans="1:8" x14ac:dyDescent="0.35">
      <c r="A13" s="3" t="s">
        <v>17</v>
      </c>
      <c r="B13" s="3" t="s">
        <v>19</v>
      </c>
      <c r="C13" s="29">
        <v>7200000</v>
      </c>
      <c r="D13" s="29">
        <v>1900000</v>
      </c>
      <c r="E13" s="29">
        <v>2100000</v>
      </c>
      <c r="F13" s="30">
        <f t="shared" si="0"/>
        <v>4000000</v>
      </c>
      <c r="G13" s="30">
        <f t="shared" si="1"/>
        <v>3200000</v>
      </c>
      <c r="H13" s="34" t="str">
        <f t="shared" si="2"/>
        <v>Under Utilized</v>
      </c>
    </row>
    <row r="14" spans="1:8" x14ac:dyDescent="0.35">
      <c r="A14" s="5" t="s">
        <v>17</v>
      </c>
      <c r="B14" s="5" t="s">
        <v>20</v>
      </c>
      <c r="C14" s="27">
        <v>4800000</v>
      </c>
      <c r="D14" s="27">
        <v>1300000</v>
      </c>
      <c r="E14" s="27">
        <v>1100000</v>
      </c>
      <c r="F14" s="28">
        <f t="shared" si="0"/>
        <v>2400000</v>
      </c>
      <c r="G14" s="28">
        <f t="shared" si="1"/>
        <v>2400000</v>
      </c>
      <c r="H14" s="35" t="str">
        <f t="shared" si="2"/>
        <v>Under Utilized</v>
      </c>
    </row>
    <row r="15" spans="1:8" x14ac:dyDescent="0.35">
      <c r="A15" s="3" t="s">
        <v>17</v>
      </c>
      <c r="B15" s="3" t="s">
        <v>21</v>
      </c>
      <c r="C15" s="29">
        <v>3600000</v>
      </c>
      <c r="D15" s="29">
        <v>850000</v>
      </c>
      <c r="E15" s="29">
        <v>950000</v>
      </c>
      <c r="F15" s="30">
        <f t="shared" si="0"/>
        <v>1800000</v>
      </c>
      <c r="G15" s="30">
        <f t="shared" si="1"/>
        <v>1800000</v>
      </c>
      <c r="H15" s="34" t="str">
        <f t="shared" si="2"/>
        <v>Under Utilized</v>
      </c>
    </row>
    <row r="16" spans="1:8" x14ac:dyDescent="0.35">
      <c r="A16" s="5" t="s">
        <v>22</v>
      </c>
      <c r="B16" s="5" t="s">
        <v>23</v>
      </c>
      <c r="C16" s="27">
        <v>9600000</v>
      </c>
      <c r="D16" s="27">
        <v>2600000</v>
      </c>
      <c r="E16" s="27">
        <v>2900000</v>
      </c>
      <c r="F16" s="28">
        <f t="shared" si="0"/>
        <v>5500000</v>
      </c>
      <c r="G16" s="28">
        <f t="shared" si="1"/>
        <v>4100000</v>
      </c>
      <c r="H16" s="35" t="str">
        <f t="shared" si="2"/>
        <v>Under Utilized</v>
      </c>
    </row>
    <row r="17" spans="1:9" x14ac:dyDescent="0.35">
      <c r="A17" s="3" t="s">
        <v>22</v>
      </c>
      <c r="B17" s="3" t="s">
        <v>24</v>
      </c>
      <c r="C17" s="29">
        <v>6000000</v>
      </c>
      <c r="D17" s="29">
        <v>1800000</v>
      </c>
      <c r="E17" s="29">
        <v>1400000</v>
      </c>
      <c r="F17" s="30">
        <f t="shared" si="0"/>
        <v>3200000</v>
      </c>
      <c r="G17" s="30">
        <f t="shared" si="1"/>
        <v>2800000</v>
      </c>
      <c r="H17" s="34" t="str">
        <f t="shared" si="2"/>
        <v>Under Utilized</v>
      </c>
    </row>
    <row r="18" spans="1:9" x14ac:dyDescent="0.35">
      <c r="A18" s="5" t="s">
        <v>22</v>
      </c>
      <c r="B18" s="5" t="s">
        <v>25</v>
      </c>
      <c r="C18" s="27">
        <v>4800000</v>
      </c>
      <c r="D18" s="27">
        <v>900000</v>
      </c>
      <c r="E18" s="27">
        <v>1200000</v>
      </c>
      <c r="F18" s="28">
        <f t="shared" si="0"/>
        <v>2100000</v>
      </c>
      <c r="G18" s="28">
        <f t="shared" si="1"/>
        <v>2700000</v>
      </c>
      <c r="H18" s="35" t="str">
        <f t="shared" si="2"/>
        <v>Under Utilized</v>
      </c>
    </row>
    <row r="19" spans="1:9" x14ac:dyDescent="0.35">
      <c r="A19" s="3" t="s">
        <v>26</v>
      </c>
      <c r="B19" s="3" t="s">
        <v>27</v>
      </c>
      <c r="C19" s="29">
        <v>8400000</v>
      </c>
      <c r="D19" s="29">
        <v>2100000</v>
      </c>
      <c r="E19" s="29">
        <v>1800000</v>
      </c>
      <c r="F19" s="30">
        <f t="shared" si="0"/>
        <v>3900000</v>
      </c>
      <c r="G19" s="30">
        <f t="shared" si="1"/>
        <v>4500000</v>
      </c>
      <c r="H19" s="34" t="str">
        <f t="shared" si="2"/>
        <v>Under Utilized</v>
      </c>
    </row>
    <row r="20" spans="1:9" x14ac:dyDescent="0.35">
      <c r="A20" s="5" t="s">
        <v>26</v>
      </c>
      <c r="B20" s="5" t="s">
        <v>28</v>
      </c>
      <c r="C20" s="27">
        <v>6000000</v>
      </c>
      <c r="D20" s="27">
        <v>1400000</v>
      </c>
      <c r="E20" s="27">
        <v>1600000</v>
      </c>
      <c r="F20" s="28">
        <f t="shared" si="0"/>
        <v>3000000</v>
      </c>
      <c r="G20" s="28">
        <f t="shared" si="1"/>
        <v>3000000</v>
      </c>
      <c r="H20" s="35" t="str">
        <f t="shared" si="2"/>
        <v>Under Utilized</v>
      </c>
    </row>
    <row r="21" spans="1:9" x14ac:dyDescent="0.35">
      <c r="A21" s="7" t="s">
        <v>26</v>
      </c>
      <c r="B21" s="7" t="s">
        <v>29</v>
      </c>
      <c r="C21" s="31">
        <v>4800000</v>
      </c>
      <c r="D21" s="31">
        <v>1100000</v>
      </c>
      <c r="E21" s="31">
        <v>1300000</v>
      </c>
      <c r="F21" s="32">
        <f t="shared" si="0"/>
        <v>2400000</v>
      </c>
      <c r="G21" s="32">
        <f t="shared" si="1"/>
        <v>2400000</v>
      </c>
      <c r="H21" s="36" t="str">
        <f t="shared" si="2"/>
        <v>Under Utilized</v>
      </c>
    </row>
    <row r="22" spans="1:9" ht="21.75" customHeight="1" x14ac:dyDescent="0.35">
      <c r="A22" s="40" t="s">
        <v>30</v>
      </c>
      <c r="B22" s="40"/>
      <c r="C22" s="33">
        <f>SUM(C4:C21)</f>
        <v>192000000</v>
      </c>
      <c r="D22" s="33">
        <f>SUM(D4:D21)</f>
        <v>46850000</v>
      </c>
      <c r="E22" s="33">
        <f>SUM(E4:E21)</f>
        <v>49170000</v>
      </c>
      <c r="F22" s="33">
        <f>SUM(F4:F21)</f>
        <v>96020000</v>
      </c>
      <c r="G22" s="33">
        <f>SUM(G4:G21)</f>
        <v>95980000</v>
      </c>
      <c r="H22" s="8" t="str">
        <f>IF(F22&gt;C22,"Over Budget","Within Budget")</f>
        <v>Within Budget</v>
      </c>
      <c r="I22" s="9"/>
    </row>
  </sheetData>
  <mergeCells count="3">
    <mergeCell ref="A1:H1"/>
    <mergeCell ref="A2:H2"/>
    <mergeCell ref="A22:B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100" workbookViewId="0">
      <pane ySplit="3" topLeftCell="A4" activePane="bottomLeft" state="frozen"/>
      <selection pane="bottomLeft" sqref="A1:F1"/>
    </sheetView>
  </sheetViews>
  <sheetFormatPr defaultColWidth="8.7265625" defaultRowHeight="14.5" x14ac:dyDescent="0.35"/>
  <cols>
    <col min="1" max="1" width="16" customWidth="1"/>
    <col min="2" max="3" width="20" customWidth="1"/>
    <col min="4" max="4" width="18" customWidth="1"/>
    <col min="5" max="5" width="16" customWidth="1"/>
    <col min="6" max="6" width="18" customWidth="1"/>
  </cols>
  <sheetData>
    <row r="1" spans="1:6" ht="34.5" customHeight="1" x14ac:dyDescent="0.35">
      <c r="A1" s="37" t="s">
        <v>45</v>
      </c>
      <c r="B1" s="38"/>
      <c r="C1" s="38"/>
      <c r="D1" s="38"/>
      <c r="E1" s="38"/>
      <c r="F1" s="38"/>
    </row>
    <row r="2" spans="1:6" s="1" customFormat="1" ht="18" customHeight="1" x14ac:dyDescent="0.35">
      <c r="A2" s="41" t="s">
        <v>42</v>
      </c>
      <c r="B2" s="42"/>
      <c r="C2" s="42"/>
      <c r="D2" s="42"/>
      <c r="E2" s="42"/>
      <c r="F2" s="42"/>
    </row>
    <row r="3" spans="1:6" ht="27.75" customHeight="1" x14ac:dyDescent="0.35">
      <c r="A3" s="2" t="s">
        <v>0</v>
      </c>
      <c r="B3" s="2" t="s">
        <v>31</v>
      </c>
      <c r="C3" s="2" t="s">
        <v>5</v>
      </c>
      <c r="D3" s="2" t="s">
        <v>6</v>
      </c>
      <c r="E3" s="2" t="s">
        <v>32</v>
      </c>
      <c r="F3" s="2" t="s">
        <v>7</v>
      </c>
    </row>
    <row r="4" spans="1:6" ht="19.5" customHeight="1" x14ac:dyDescent="0.35">
      <c r="A4" s="12" t="s">
        <v>8</v>
      </c>
      <c r="B4" s="22">
        <f>SUMIF('Budget Tracker'!A:A,A4,'Budget Tracker'!C:C)</f>
        <v>68400000</v>
      </c>
      <c r="C4" s="22">
        <f>SUMIF('Budget Tracker'!A:A,A4,'Budget Tracker'!F:F)</f>
        <v>33770000</v>
      </c>
      <c r="D4" s="22">
        <f>B4-C4</f>
        <v>34630000</v>
      </c>
      <c r="E4" s="13">
        <f>C4/B4</f>
        <v>0.49371345029239766</v>
      </c>
      <c r="F4" s="14" t="str">
        <f>IF(C4&gt;B4,"Over Budget",IF(C4/B4&gt;0.8,"On Track","Under Utilized"))</f>
        <v>Under Utilized</v>
      </c>
    </row>
    <row r="5" spans="1:6" ht="19.5" customHeight="1" x14ac:dyDescent="0.35">
      <c r="A5" s="15" t="s">
        <v>13</v>
      </c>
      <c r="B5" s="23">
        <f>SUMIF('Budget Tracker'!A:A,A5,'Budget Tracker'!C:C)</f>
        <v>50400000</v>
      </c>
      <c r="C5" s="23">
        <f>SUMIF('Budget Tracker'!A:A,A5,'Budget Tracker'!F:F)</f>
        <v>24950000</v>
      </c>
      <c r="D5" s="23">
        <f>B5-C5</f>
        <v>25450000</v>
      </c>
      <c r="E5" s="16">
        <f t="shared" ref="E5:E9" si="0">C5/B5</f>
        <v>0.49503968253968256</v>
      </c>
      <c r="F5" s="14" t="str">
        <f t="shared" ref="F5:F8" si="1">IF(C5&gt;B5,"Over Budget",IF(C5/B5&gt;0.8,"On Track","Under Utilized"))</f>
        <v>Under Utilized</v>
      </c>
    </row>
    <row r="6" spans="1:6" ht="19.5" customHeight="1" x14ac:dyDescent="0.35">
      <c r="A6" s="12" t="s">
        <v>17</v>
      </c>
      <c r="B6" s="22">
        <f>SUMIF('Budget Tracker'!A:A,A6,'Budget Tracker'!C:C)</f>
        <v>33600000</v>
      </c>
      <c r="C6" s="22">
        <f>SUMIF('Budget Tracker'!A:A,A6,'Budget Tracker'!F:F)</f>
        <v>17200000</v>
      </c>
      <c r="D6" s="22">
        <f>B6-C6</f>
        <v>16400000</v>
      </c>
      <c r="E6" s="13">
        <f t="shared" si="0"/>
        <v>0.51190476190476186</v>
      </c>
      <c r="F6" s="14" t="str">
        <f t="shared" si="1"/>
        <v>Under Utilized</v>
      </c>
    </row>
    <row r="7" spans="1:6" ht="19.5" customHeight="1" x14ac:dyDescent="0.35">
      <c r="A7" s="15" t="s">
        <v>22</v>
      </c>
      <c r="B7" s="23">
        <f>SUMIF('Budget Tracker'!A:A,A7,'Budget Tracker'!C:C)</f>
        <v>20400000</v>
      </c>
      <c r="C7" s="23">
        <f>SUMIF('Budget Tracker'!A:A,A7,'Budget Tracker'!F:F)</f>
        <v>10800000</v>
      </c>
      <c r="D7" s="23">
        <f>B7-C7</f>
        <v>9600000</v>
      </c>
      <c r="E7" s="16">
        <f>C7/B7</f>
        <v>0.52941176470588236</v>
      </c>
      <c r="F7" s="14" t="str">
        <f t="shared" si="1"/>
        <v>Under Utilized</v>
      </c>
    </row>
    <row r="8" spans="1:6" ht="19.5" customHeight="1" x14ac:dyDescent="0.35">
      <c r="A8" s="17" t="s">
        <v>26</v>
      </c>
      <c r="B8" s="24">
        <f>SUMIF('Budget Tracker'!A:A,A8,'Budget Tracker'!C:C)</f>
        <v>19200000</v>
      </c>
      <c r="C8" s="24">
        <f>SUMIF('Budget Tracker'!A:A,A8,'Budget Tracker'!F:F)</f>
        <v>9300000</v>
      </c>
      <c r="D8" s="24">
        <f>B8-C8</f>
        <v>9900000</v>
      </c>
      <c r="E8" s="18">
        <f t="shared" si="0"/>
        <v>0.484375</v>
      </c>
      <c r="F8" s="14" t="str">
        <f t="shared" si="1"/>
        <v>Under Utilized</v>
      </c>
    </row>
    <row r="9" spans="1:6" ht="21.75" customHeight="1" x14ac:dyDescent="0.35">
      <c r="A9" s="8" t="s">
        <v>33</v>
      </c>
      <c r="B9" s="25">
        <f>SUM(B4:B8)</f>
        <v>192000000</v>
      </c>
      <c r="C9" s="25">
        <f>SUM(C4:C8)</f>
        <v>96020000</v>
      </c>
      <c r="D9" s="25">
        <f>SUM(D4:D8)</f>
        <v>95980000</v>
      </c>
      <c r="E9" s="19">
        <f t="shared" si="0"/>
        <v>0.50010416666666668</v>
      </c>
      <c r="F9" s="8" t="str">
        <f>IF(C9&gt;B9,"Over Budget","Within Budget")</f>
        <v>Within Budget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zoomScaleNormal="100" workbookViewId="0">
      <selection activeCell="C14" sqref="C14"/>
    </sheetView>
  </sheetViews>
  <sheetFormatPr defaultColWidth="8.7265625" defaultRowHeight="14.5" x14ac:dyDescent="0.35"/>
  <cols>
    <col min="1" max="1" width="14" customWidth="1"/>
    <col min="2" max="4" width="18" customWidth="1"/>
    <col min="5" max="5" width="45" customWidth="1"/>
  </cols>
  <sheetData>
    <row r="1" spans="1:5" ht="34.5" customHeight="1" x14ac:dyDescent="0.35">
      <c r="A1" s="37" t="s">
        <v>43</v>
      </c>
      <c r="B1" s="38"/>
      <c r="C1" s="38"/>
      <c r="D1" s="38"/>
      <c r="E1" s="38"/>
    </row>
    <row r="2" spans="1:5" ht="27.75" customHeight="1" x14ac:dyDescent="0.35">
      <c r="A2" s="2" t="s">
        <v>0</v>
      </c>
      <c r="B2" s="2" t="s">
        <v>34</v>
      </c>
      <c r="C2" s="2" t="s">
        <v>35</v>
      </c>
      <c r="D2" s="2" t="s">
        <v>6</v>
      </c>
      <c r="E2" s="2" t="s">
        <v>36</v>
      </c>
    </row>
    <row r="3" spans="1:5" ht="30" customHeight="1" x14ac:dyDescent="0.35">
      <c r="A3" s="11" t="s">
        <v>8</v>
      </c>
      <c r="B3" s="4">
        <f>'Department Summary'!B4</f>
        <v>68400000</v>
      </c>
      <c r="C3" s="4">
        <f>'Department Summary'!C4</f>
        <v>33770000</v>
      </c>
      <c r="D3" s="4">
        <f>'Department Summary'!D4</f>
        <v>34630000</v>
      </c>
      <c r="E3" s="20" t="s">
        <v>37</v>
      </c>
    </row>
    <row r="4" spans="1:5" ht="30" customHeight="1" x14ac:dyDescent="0.35">
      <c r="A4" s="10" t="s">
        <v>13</v>
      </c>
      <c r="B4" s="6">
        <f>'Department Summary'!B5</f>
        <v>50400000</v>
      </c>
      <c r="C4" s="6">
        <f>'Department Summary'!C5</f>
        <v>24950000</v>
      </c>
      <c r="D4" s="6">
        <f>'Department Summary'!D5</f>
        <v>25450000</v>
      </c>
      <c r="E4" s="21" t="s">
        <v>38</v>
      </c>
    </row>
    <row r="5" spans="1:5" ht="30" customHeight="1" x14ac:dyDescent="0.35">
      <c r="A5" s="11" t="s">
        <v>17</v>
      </c>
      <c r="B5" s="4">
        <f>'Department Summary'!B6</f>
        <v>33600000</v>
      </c>
      <c r="C5" s="4">
        <f>'Department Summary'!C6</f>
        <v>17200000</v>
      </c>
      <c r="D5" s="4">
        <f>'Department Summary'!D6</f>
        <v>16400000</v>
      </c>
      <c r="E5" s="20" t="s">
        <v>39</v>
      </c>
    </row>
    <row r="6" spans="1:5" ht="30" customHeight="1" x14ac:dyDescent="0.35">
      <c r="A6" s="10" t="s">
        <v>22</v>
      </c>
      <c r="B6" s="6">
        <f>'Department Summary'!B7</f>
        <v>20400000</v>
      </c>
      <c r="C6" s="6">
        <f>'Department Summary'!C7</f>
        <v>10800000</v>
      </c>
      <c r="D6" s="6">
        <f>'Department Summary'!D7</f>
        <v>9600000</v>
      </c>
      <c r="E6" s="21" t="s">
        <v>40</v>
      </c>
    </row>
    <row r="7" spans="1:5" ht="30" customHeight="1" x14ac:dyDescent="0.35">
      <c r="A7" s="11" t="s">
        <v>26</v>
      </c>
      <c r="B7" s="4">
        <f>'Department Summary'!B8</f>
        <v>19200000</v>
      </c>
      <c r="C7" s="4">
        <f>'Department Summary'!C8</f>
        <v>9300000</v>
      </c>
      <c r="D7" s="4">
        <f>'Department Summary'!D8</f>
        <v>9900000</v>
      </c>
      <c r="E7" s="20" t="s">
        <v>41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Tracker</vt:lpstr>
      <vt:lpstr>Department Summary</vt:lpstr>
      <vt:lpstr>Variance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</cp:lastModifiedBy>
  <cp:revision>0</cp:revision>
  <dcterms:created xsi:type="dcterms:W3CDTF">2026-03-05T09:37:19Z</dcterms:created>
  <dcterms:modified xsi:type="dcterms:W3CDTF">2026-05-22T10:26:34Z</dcterms:modified>
  <dc:language>en-US</dc:language>
</cp:coreProperties>
</file>